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OneDrive\Documentos\GitHub\KP_Analysis_Binarization_Schemes\"/>
    </mc:Choice>
  </mc:AlternateContent>
  <xr:revisionPtr revIDLastSave="0" documentId="13_ncr:1_{EFE80DCC-8755-43AD-AF9D-BC14996152C1}" xr6:coauthVersionLast="47" xr6:coauthVersionMax="47" xr10:uidLastSave="{00000000-0000-0000-0000-000000000000}"/>
  <bookViews>
    <workbookView xWindow="-108" yWindow="-108" windowWidth="27288" windowHeight="17544" activeTab="3" xr2:uid="{A8485A2D-61EC-4FE9-9F49-A0C78C73A146}"/>
  </bookViews>
  <sheets>
    <sheet name="Hoja1" sheetId="1" r:id="rId1"/>
    <sheet name="estructura paper" sheetId="4" r:id="rId2"/>
    <sheet name="seteo de parámetros" sheetId="2" r:id="rId3"/>
    <sheet name="contexto experimenta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" i="3" l="1"/>
</calcChain>
</file>

<file path=xl/sharedStrings.xml><?xml version="1.0" encoding="utf-8"?>
<sst xmlns="http://schemas.openxmlformats.org/spreadsheetml/2006/main" count="131" uniqueCount="92">
  <si>
    <t>Instancia</t>
  </si>
  <si>
    <t>knapPI_1_100_1000_1</t>
  </si>
  <si>
    <t>knapPI_1_200_1000_1</t>
  </si>
  <si>
    <t>knapPI_1_500_1000_1</t>
  </si>
  <si>
    <t>knapPI_1_1000_1000_1</t>
  </si>
  <si>
    <t>knapPI_1_2000_1000_1</t>
  </si>
  <si>
    <t>knapPI_1_5000_1000_1</t>
  </si>
  <si>
    <t>knapPI_1_10000_1000_1</t>
  </si>
  <si>
    <t>knapPI_2_100_1000_1</t>
  </si>
  <si>
    <t>knapPI_2_200_1000_1</t>
  </si>
  <si>
    <t>knapPI_2_500_1000_1</t>
  </si>
  <si>
    <t>knapPI_2_1000_1000_1</t>
  </si>
  <si>
    <t>knapPI_2_2000_1000_1</t>
  </si>
  <si>
    <t>knapPI_2_5000_1000_1</t>
  </si>
  <si>
    <t>knapPI_2_10000_1000_1</t>
  </si>
  <si>
    <t>knapPI_3_100_1000_1</t>
  </si>
  <si>
    <t>knapPI_3_200_1000_1</t>
  </si>
  <si>
    <t>knapPI_3_500_1000_1</t>
  </si>
  <si>
    <t>knapPI_3_1000_1000_1</t>
  </si>
  <si>
    <t>knapPI_3_2000_1000_1</t>
  </si>
  <si>
    <t>knapPI_3_5000_1000_1</t>
  </si>
  <si>
    <t>knapPI_3_10000_1000_1</t>
  </si>
  <si>
    <t>Óptimo</t>
  </si>
  <si>
    <t>variables</t>
  </si>
  <si>
    <t>MH a ejecutar</t>
  </si>
  <si>
    <t>PSO</t>
  </si>
  <si>
    <t>GWO</t>
  </si>
  <si>
    <t>mas citado en la literatura de metaheuristicas poblacionales</t>
  </si>
  <si>
    <t xml:space="preserve">crecimiento exponencial de utilizacion </t>
  </si>
  <si>
    <t>fuente</t>
  </si>
  <si>
    <t>https://zeus.inf.ucv.cl/~bcrawford/UAH_CHARLA-MAYO-22-2023/1-An%20exhaustive%20review%20of%20the%20metaheuristic%20algorithms.pdf</t>
  </si>
  <si>
    <t>ver figura 3 del paper</t>
  </si>
  <si>
    <t>justificacion</t>
  </si>
  <si>
    <t>Esquemas de binarización a testear</t>
  </si>
  <si>
    <t>V1</t>
  </si>
  <si>
    <t>V2</t>
  </si>
  <si>
    <t>V3</t>
  </si>
  <si>
    <t>V4</t>
  </si>
  <si>
    <t>S1</t>
  </si>
  <si>
    <t>S2</t>
  </si>
  <si>
    <t>S3</t>
  </si>
  <si>
    <t>S4</t>
  </si>
  <si>
    <t>STD</t>
  </si>
  <si>
    <t>COM</t>
  </si>
  <si>
    <t>ELIT</t>
  </si>
  <si>
    <t>entorno experimental</t>
  </si>
  <si>
    <t>instancias</t>
  </si>
  <si>
    <t>mh</t>
  </si>
  <si>
    <t>esquemas</t>
  </si>
  <si>
    <t>corridas</t>
  </si>
  <si>
    <t>total experimetos</t>
  </si>
  <si>
    <t>ESTRUCTURA DEL PAPER</t>
  </si>
  <si>
    <t>contexto del problema: definición de KP como un problema NP-Hard y su relevancia en aplicaciones reales (buscar referencias)</t>
  </si>
  <si>
    <t>algoritmo bio-inspirados: contextualizar que son los algoritmos bio-inspirados y aterrizar en PSO como un algoritmo de movimiento social y GWO como un algoritmo basado en jerarquia de cazas de lobos.</t>
  </si>
  <si>
    <t>la brecha de binarización: explicar por qué la transición de lo continuo a lo discreto no es trivial y cómo la elección del esquema de binarización puede afectar el "full potential" del algoritmo. (acá usa herramientas como consensus para profundizar y el paper "Binarization of Metaheuristics: Is the Transfer Function Really Important?")</t>
  </si>
  <si>
    <t>contribución: estableces que este es un estudio exhautivo para recomendar configuraciones especificas según el tipo de instancia de KP</t>
  </si>
  <si>
    <t>introducción</t>
  </si>
  <si>
    <t>related work</t>
  </si>
  <si>
    <t>estado del arte del KP: breve revisión de métodos exactos vs metaheurísticas para este problema</t>
  </si>
  <si>
    <t>PSO y GWO en problemas discretos: revisión de trabajos previos que han adaptado estos algoritmos para problemas binarios. Acá buscamos justificar su selección mediante interés científicos</t>
  </si>
  <si>
    <t>Estudios de binarización: Mencionar que, anque existen adaptaciones, pocos estudios analizan estadísticamente el impacto de los esquemas de binarización</t>
  </si>
  <si>
    <t>KP</t>
  </si>
  <si>
    <t>Definición matemática contextualizada al problema 0-1 KP</t>
  </si>
  <si>
    <t>Swarm Intelligence Algorithms</t>
  </si>
  <si>
    <t>PSO: descripción del las ecuaciones de movimiento e inspiración</t>
  </si>
  <si>
    <t>GWO: idem a PSO</t>
  </si>
  <si>
    <t>Binarización: definición formal de como se binarizan metaheuristicas con la técnica de dos pasos</t>
  </si>
  <si>
    <t>Metodología Experimental</t>
  </si>
  <si>
    <t>Descripción de las instancias</t>
  </si>
  <si>
    <t>Configuración de los parámetros</t>
  </si>
  <si>
    <t>Definir las métricas de calidad a utilizar (RPD, métricas de diversidad)</t>
  </si>
  <si>
    <t>Pruebas estadísticas: wilconxon-mann-whitney para comparaciones significativas (ver papers nuestros de como se definen)</t>
  </si>
  <si>
    <t>Analisis de resultados</t>
  </si>
  <si>
    <t>lo definimos luego de la experimentacion</t>
  </si>
  <si>
    <t>Conclusiones</t>
  </si>
  <si>
    <t>poblacion</t>
  </si>
  <si>
    <t>iteraciones</t>
  </si>
  <si>
    <t>FT</t>
  </si>
  <si>
    <t>RB</t>
  </si>
  <si>
    <t>MH</t>
  </si>
  <si>
    <t>contexto</t>
  </si>
  <si>
    <t>valor</t>
  </si>
  <si>
    <t>X1</t>
  </si>
  <si>
    <t>X2</t>
  </si>
  <si>
    <t>X3</t>
  </si>
  <si>
    <t>X4</t>
  </si>
  <si>
    <t>Z1</t>
  </si>
  <si>
    <t>Z2</t>
  </si>
  <si>
    <t>Z3</t>
  </si>
  <si>
    <t>Z4</t>
  </si>
  <si>
    <t>vamos a probar tambien las nuevas funciones de transferencias para argumentar su funcionamiento</t>
  </si>
  <si>
    <t>acá incorpora todo tu análisis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</si>
</sst>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B2F3-632D-4750-962A-3D587FBEC826}">
  <dimension ref="A1:L27"/>
  <sheetViews>
    <sheetView zoomScale="115" zoomScaleNormal="115" workbookViewId="0">
      <selection activeCell="E26" sqref="E26"/>
    </sheetView>
  </sheetViews>
  <sheetFormatPr baseColWidth="10" defaultRowHeight="14.4" x14ac:dyDescent="0.3"/>
  <cols>
    <col min="1" max="1" width="20.6640625" style="2" bestFit="1" customWidth="1"/>
    <col min="2" max="4" width="11.5546875" style="2"/>
    <col min="5" max="5" width="29.44140625" style="2" bestFit="1" customWidth="1"/>
    <col min="6" max="6" width="11.5546875" style="2"/>
    <col min="7" max="7" width="18.109375" style="2" bestFit="1" customWidth="1"/>
    <col min="8" max="9" width="11.5546875" style="2"/>
    <col min="10" max="12" width="11.5546875" style="4"/>
    <col min="13" max="16384" width="11.5546875" style="2"/>
  </cols>
  <sheetData>
    <row r="1" spans="1:6" x14ac:dyDescent="0.3">
      <c r="A1" s="1" t="s">
        <v>0</v>
      </c>
      <c r="B1" s="1" t="s">
        <v>22</v>
      </c>
      <c r="C1" s="1" t="s">
        <v>23</v>
      </c>
      <c r="E1" s="1" t="s">
        <v>24</v>
      </c>
      <c r="F1" s="1" t="s">
        <v>32</v>
      </c>
    </row>
    <row r="2" spans="1:6" x14ac:dyDescent="0.3">
      <c r="A2" s="1" t="s">
        <v>1</v>
      </c>
      <c r="B2" s="1">
        <v>9147</v>
      </c>
      <c r="C2" s="1">
        <v>100</v>
      </c>
      <c r="E2" s="1" t="s">
        <v>25</v>
      </c>
      <c r="F2" s="3" t="s">
        <v>27</v>
      </c>
    </row>
    <row r="3" spans="1:6" x14ac:dyDescent="0.3">
      <c r="A3" s="1" t="s">
        <v>2</v>
      </c>
      <c r="B3" s="1">
        <v>11238</v>
      </c>
      <c r="C3" s="1">
        <v>200</v>
      </c>
      <c r="E3" s="1" t="s">
        <v>26</v>
      </c>
      <c r="F3" s="3" t="s">
        <v>28</v>
      </c>
    </row>
    <row r="4" spans="1:6" x14ac:dyDescent="0.3">
      <c r="A4" s="1" t="s">
        <v>3</v>
      </c>
      <c r="B4" s="1">
        <v>28857</v>
      </c>
      <c r="C4" s="1">
        <v>500</v>
      </c>
      <c r="E4" s="1" t="s">
        <v>29</v>
      </c>
      <c r="F4" s="3" t="s">
        <v>30</v>
      </c>
    </row>
    <row r="5" spans="1:6" x14ac:dyDescent="0.3">
      <c r="A5" s="1" t="s">
        <v>4</v>
      </c>
      <c r="B5" s="1">
        <v>54503</v>
      </c>
      <c r="C5" s="1">
        <v>1000</v>
      </c>
      <c r="E5" s="1" t="s">
        <v>31</v>
      </c>
      <c r="F5" s="1"/>
    </row>
    <row r="6" spans="1:6" x14ac:dyDescent="0.3">
      <c r="A6" s="1" t="s">
        <v>5</v>
      </c>
      <c r="B6" s="1">
        <v>110625</v>
      </c>
      <c r="C6" s="1">
        <v>2000</v>
      </c>
    </row>
    <row r="7" spans="1:6" x14ac:dyDescent="0.3">
      <c r="A7" s="1" t="s">
        <v>6</v>
      </c>
      <c r="B7" s="1">
        <v>276457</v>
      </c>
      <c r="C7" s="1">
        <v>5000</v>
      </c>
      <c r="E7" s="1" t="s">
        <v>33</v>
      </c>
      <c r="F7" s="1"/>
    </row>
    <row r="8" spans="1:6" x14ac:dyDescent="0.3">
      <c r="A8" s="1" t="s">
        <v>7</v>
      </c>
      <c r="B8" s="1">
        <v>563647</v>
      </c>
      <c r="C8" s="1">
        <v>10000</v>
      </c>
      <c r="E8" s="1" t="s">
        <v>34</v>
      </c>
      <c r="F8" s="1" t="s">
        <v>42</v>
      </c>
    </row>
    <row r="9" spans="1:6" x14ac:dyDescent="0.3">
      <c r="A9" s="1" t="s">
        <v>8</v>
      </c>
      <c r="B9" s="1">
        <v>1514</v>
      </c>
      <c r="C9" s="1">
        <v>100</v>
      </c>
      <c r="E9" s="1" t="s">
        <v>35</v>
      </c>
      <c r="F9" s="1" t="s">
        <v>43</v>
      </c>
    </row>
    <row r="10" spans="1:6" x14ac:dyDescent="0.3">
      <c r="A10" s="1" t="s">
        <v>9</v>
      </c>
      <c r="B10" s="1">
        <v>1634</v>
      </c>
      <c r="C10" s="1">
        <v>200</v>
      </c>
      <c r="E10" s="1" t="s">
        <v>36</v>
      </c>
      <c r="F10" s="1" t="s">
        <v>44</v>
      </c>
    </row>
    <row r="11" spans="1:6" x14ac:dyDescent="0.3">
      <c r="A11" s="1" t="s">
        <v>10</v>
      </c>
      <c r="B11" s="1">
        <v>4566</v>
      </c>
      <c r="C11" s="1">
        <v>500</v>
      </c>
      <c r="E11" s="1" t="s">
        <v>37</v>
      </c>
      <c r="F11" s="1"/>
    </row>
    <row r="12" spans="1:6" x14ac:dyDescent="0.3">
      <c r="A12" s="1" t="s">
        <v>11</v>
      </c>
      <c r="B12" s="1">
        <v>9052</v>
      </c>
      <c r="C12" s="1">
        <v>1000</v>
      </c>
      <c r="E12" s="1" t="s">
        <v>38</v>
      </c>
      <c r="F12" s="1"/>
    </row>
    <row r="13" spans="1:6" x14ac:dyDescent="0.3">
      <c r="A13" s="1" t="s">
        <v>12</v>
      </c>
      <c r="B13" s="1">
        <v>18051</v>
      </c>
      <c r="C13" s="1">
        <v>2000</v>
      </c>
      <c r="E13" s="1" t="s">
        <v>39</v>
      </c>
      <c r="F13" s="1"/>
    </row>
    <row r="14" spans="1:6" x14ac:dyDescent="0.3">
      <c r="A14" s="1" t="s">
        <v>13</v>
      </c>
      <c r="B14" s="1">
        <v>44356</v>
      </c>
      <c r="C14" s="1">
        <v>5000</v>
      </c>
      <c r="E14" s="1" t="s">
        <v>40</v>
      </c>
      <c r="F14" s="1"/>
    </row>
    <row r="15" spans="1:6" x14ac:dyDescent="0.3">
      <c r="A15" s="1" t="s">
        <v>14</v>
      </c>
      <c r="B15" s="1">
        <v>90204</v>
      </c>
      <c r="C15" s="1">
        <v>10000</v>
      </c>
      <c r="E15" s="1" t="s">
        <v>41</v>
      </c>
      <c r="F15" s="1"/>
    </row>
    <row r="16" spans="1:6" x14ac:dyDescent="0.3">
      <c r="A16" s="1" t="s">
        <v>15</v>
      </c>
      <c r="B16" s="1">
        <v>2397</v>
      </c>
      <c r="C16" s="1">
        <v>100</v>
      </c>
    </row>
    <row r="17" spans="1:9" x14ac:dyDescent="0.3">
      <c r="A17" s="1" t="s">
        <v>16</v>
      </c>
      <c r="B17" s="1">
        <v>2697</v>
      </c>
      <c r="C17" s="1">
        <v>200</v>
      </c>
    </row>
    <row r="18" spans="1:9" x14ac:dyDescent="0.3">
      <c r="A18" s="1" t="s">
        <v>17</v>
      </c>
      <c r="B18" s="1">
        <v>7117</v>
      </c>
      <c r="C18" s="1">
        <v>500</v>
      </c>
    </row>
    <row r="19" spans="1:9" x14ac:dyDescent="0.3">
      <c r="A19" s="1" t="s">
        <v>18</v>
      </c>
      <c r="B19" s="1">
        <v>14390</v>
      </c>
      <c r="C19" s="1">
        <v>1000</v>
      </c>
      <c r="F19" s="8"/>
      <c r="G19" s="8"/>
      <c r="H19" s="8"/>
      <c r="I19" s="8"/>
    </row>
    <row r="20" spans="1:9" x14ac:dyDescent="0.3">
      <c r="A20" s="1" t="s">
        <v>19</v>
      </c>
      <c r="B20" s="1">
        <v>28919</v>
      </c>
      <c r="C20" s="1">
        <v>2000</v>
      </c>
      <c r="F20" s="8"/>
      <c r="G20" s="8"/>
      <c r="H20" s="8"/>
      <c r="I20" s="8"/>
    </row>
    <row r="21" spans="1:9" x14ac:dyDescent="0.3">
      <c r="A21" s="1" t="s">
        <v>20</v>
      </c>
      <c r="B21" s="1">
        <v>72505</v>
      </c>
      <c r="C21" s="1">
        <v>5000</v>
      </c>
      <c r="F21" s="8"/>
      <c r="G21" s="13"/>
      <c r="H21" s="13"/>
      <c r="I21" s="8"/>
    </row>
    <row r="22" spans="1:9" x14ac:dyDescent="0.3">
      <c r="A22" s="1" t="s">
        <v>21</v>
      </c>
      <c r="B22" s="1">
        <v>146919</v>
      </c>
      <c r="C22" s="1">
        <v>10000</v>
      </c>
      <c r="F22" s="8"/>
      <c r="G22" s="8"/>
      <c r="H22" s="8"/>
      <c r="I22" s="8"/>
    </row>
    <row r="23" spans="1:9" x14ac:dyDescent="0.3">
      <c r="F23" s="8"/>
      <c r="G23" s="8"/>
      <c r="H23" s="8"/>
      <c r="I23" s="8"/>
    </row>
    <row r="24" spans="1:9" x14ac:dyDescent="0.3">
      <c r="F24" s="8"/>
      <c r="G24" s="8"/>
      <c r="H24" s="8"/>
      <c r="I24" s="8"/>
    </row>
    <row r="25" spans="1:9" x14ac:dyDescent="0.3">
      <c r="F25" s="8"/>
      <c r="G25" s="8"/>
      <c r="H25" s="8"/>
      <c r="I25" s="8"/>
    </row>
    <row r="26" spans="1:9" x14ac:dyDescent="0.3">
      <c r="F26" s="8"/>
      <c r="G26" s="8"/>
      <c r="H26" s="8"/>
      <c r="I26" s="8"/>
    </row>
    <row r="27" spans="1:9" x14ac:dyDescent="0.3">
      <c r="F27" s="8"/>
      <c r="G27" s="8"/>
      <c r="H27" s="8"/>
      <c r="I27" s="8"/>
    </row>
  </sheetData>
  <mergeCells count="1">
    <mergeCell ref="G21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F3D2-B114-4909-8093-8962E5EE4DDB}">
  <dimension ref="A1:B18"/>
  <sheetViews>
    <sheetView workbookViewId="0">
      <selection activeCell="C24" sqref="C24"/>
    </sheetView>
  </sheetViews>
  <sheetFormatPr baseColWidth="10" defaultRowHeight="14.4" x14ac:dyDescent="0.3"/>
  <cols>
    <col min="1" max="1" width="25.21875" bestFit="1" customWidth="1"/>
  </cols>
  <sheetData>
    <row r="1" spans="1:2" x14ac:dyDescent="0.3">
      <c r="A1" s="14" t="s">
        <v>51</v>
      </c>
      <c r="B1" s="14"/>
    </row>
    <row r="2" spans="1:2" x14ac:dyDescent="0.3">
      <c r="A2" s="4" t="s">
        <v>56</v>
      </c>
      <c r="B2" s="4" t="s">
        <v>52</v>
      </c>
    </row>
    <row r="3" spans="1:2" x14ac:dyDescent="0.3">
      <c r="A3" s="4"/>
      <c r="B3" s="4" t="s">
        <v>53</v>
      </c>
    </row>
    <row r="4" spans="1:2" x14ac:dyDescent="0.3">
      <c r="A4" s="4"/>
      <c r="B4" s="4" t="s">
        <v>54</v>
      </c>
    </row>
    <row r="5" spans="1:2" x14ac:dyDescent="0.3">
      <c r="A5" s="4"/>
      <c r="B5" s="4" t="s">
        <v>55</v>
      </c>
    </row>
    <row r="6" spans="1:2" x14ac:dyDescent="0.3">
      <c r="A6" s="4" t="s">
        <v>57</v>
      </c>
      <c r="B6" s="4" t="s">
        <v>58</v>
      </c>
    </row>
    <row r="7" spans="1:2" x14ac:dyDescent="0.3">
      <c r="A7" s="4"/>
      <c r="B7" s="4" t="s">
        <v>59</v>
      </c>
    </row>
    <row r="8" spans="1:2" x14ac:dyDescent="0.3">
      <c r="A8" s="4"/>
      <c r="B8" s="4" t="s">
        <v>60</v>
      </c>
    </row>
    <row r="9" spans="1:2" x14ac:dyDescent="0.3">
      <c r="A9" s="4" t="s">
        <v>61</v>
      </c>
      <c r="B9" s="4" t="s">
        <v>62</v>
      </c>
    </row>
    <row r="10" spans="1:2" x14ac:dyDescent="0.3">
      <c r="A10" s="4" t="s">
        <v>63</v>
      </c>
      <c r="B10" s="4" t="s">
        <v>64</v>
      </c>
    </row>
    <row r="11" spans="1:2" x14ac:dyDescent="0.3">
      <c r="A11" s="4"/>
      <c r="B11" s="4" t="s">
        <v>65</v>
      </c>
    </row>
    <row r="12" spans="1:2" x14ac:dyDescent="0.3">
      <c r="A12" s="4"/>
      <c r="B12" s="4" t="s">
        <v>66</v>
      </c>
    </row>
    <row r="13" spans="1:2" x14ac:dyDescent="0.3">
      <c r="A13" s="4" t="s">
        <v>67</v>
      </c>
      <c r="B13" s="4" t="s">
        <v>68</v>
      </c>
    </row>
    <row r="14" spans="1:2" x14ac:dyDescent="0.3">
      <c r="A14" s="4"/>
      <c r="B14" s="4" t="s">
        <v>69</v>
      </c>
    </row>
    <row r="15" spans="1:2" x14ac:dyDescent="0.3">
      <c r="A15" s="4"/>
      <c r="B15" s="4" t="s">
        <v>70</v>
      </c>
    </row>
    <row r="16" spans="1:2" x14ac:dyDescent="0.3">
      <c r="A16" s="4"/>
      <c r="B16" s="4" t="s">
        <v>71</v>
      </c>
    </row>
    <row r="17" spans="1:2" x14ac:dyDescent="0.3">
      <c r="A17" s="4" t="s">
        <v>72</v>
      </c>
      <c r="B17" s="4" t="s">
        <v>73</v>
      </c>
    </row>
    <row r="18" spans="1:2" x14ac:dyDescent="0.3">
      <c r="A18" s="4" t="s">
        <v>74</v>
      </c>
      <c r="B18" s="4" t="s">
        <v>73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6665-CB6F-4EB3-B44A-0671C7C942BB}">
  <dimension ref="A1"/>
  <sheetViews>
    <sheetView workbookViewId="0">
      <selection activeCell="A2" sqref="A2"/>
    </sheetView>
  </sheetViews>
  <sheetFormatPr baseColWidth="10" defaultRowHeight="14.4" x14ac:dyDescent="0.3"/>
  <sheetData>
    <row r="1" spans="1:1" x14ac:dyDescent="0.3">
      <c r="A1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1C3F-B2BE-4D34-A310-8146D6E6719E}">
  <dimension ref="A1:K26"/>
  <sheetViews>
    <sheetView tabSelected="1" workbookViewId="0">
      <selection activeCell="L26" sqref="L26"/>
    </sheetView>
  </sheetViews>
  <sheetFormatPr baseColWidth="10" defaultRowHeight="14.4" x14ac:dyDescent="0.3"/>
  <cols>
    <col min="1" max="1" width="10" bestFit="1" customWidth="1"/>
    <col min="2" max="2" width="4.88671875" bestFit="1" customWidth="1"/>
    <col min="3" max="3" width="20.6640625" bestFit="1" customWidth="1"/>
    <col min="4" max="4" width="7" bestFit="1" customWidth="1"/>
    <col min="5" max="5" width="8.21875" bestFit="1" customWidth="1"/>
    <col min="10" max="10" width="14.77734375" bestFit="1" customWidth="1"/>
  </cols>
  <sheetData>
    <row r="1" spans="1:11" x14ac:dyDescent="0.3">
      <c r="A1" s="11" t="s">
        <v>80</v>
      </c>
      <c r="B1" s="11" t="s">
        <v>81</v>
      </c>
      <c r="C1" s="12" t="s">
        <v>0</v>
      </c>
      <c r="D1" s="12" t="s">
        <v>22</v>
      </c>
      <c r="E1" s="12" t="s">
        <v>23</v>
      </c>
      <c r="F1" s="12" t="s">
        <v>77</v>
      </c>
      <c r="G1" s="12" t="s">
        <v>78</v>
      </c>
      <c r="H1" s="12" t="s">
        <v>79</v>
      </c>
    </row>
    <row r="2" spans="1:11" x14ac:dyDescent="0.3">
      <c r="A2" s="9" t="s">
        <v>75</v>
      </c>
      <c r="B2" s="9">
        <v>10</v>
      </c>
      <c r="C2" s="1" t="s">
        <v>1</v>
      </c>
      <c r="D2" s="1">
        <v>9147</v>
      </c>
      <c r="E2" s="1">
        <v>100</v>
      </c>
      <c r="F2" s="1" t="s">
        <v>34</v>
      </c>
      <c r="G2" s="1" t="s">
        <v>42</v>
      </c>
      <c r="H2" s="10" t="s">
        <v>25</v>
      </c>
    </row>
    <row r="3" spans="1:11" x14ac:dyDescent="0.3">
      <c r="A3" s="9" t="s">
        <v>76</v>
      </c>
      <c r="B3" s="9">
        <v>100</v>
      </c>
      <c r="C3" s="1" t="s">
        <v>2</v>
      </c>
      <c r="D3" s="1">
        <v>11238</v>
      </c>
      <c r="E3" s="1">
        <v>200</v>
      </c>
      <c r="F3" s="1" t="s">
        <v>35</v>
      </c>
      <c r="G3" s="1" t="s">
        <v>43</v>
      </c>
      <c r="H3" s="10" t="s">
        <v>26</v>
      </c>
      <c r="J3" s="5" t="s">
        <v>45</v>
      </c>
      <c r="K3" s="6"/>
    </row>
    <row r="4" spans="1:11" x14ac:dyDescent="0.3">
      <c r="A4" s="9" t="s">
        <v>49</v>
      </c>
      <c r="B4" s="9">
        <v>31</v>
      </c>
      <c r="C4" s="1" t="s">
        <v>3</v>
      </c>
      <c r="D4" s="1">
        <v>28857</v>
      </c>
      <c r="E4" s="1">
        <v>500</v>
      </c>
      <c r="F4" s="1" t="s">
        <v>36</v>
      </c>
      <c r="G4" s="1" t="s">
        <v>44</v>
      </c>
      <c r="H4" s="7"/>
      <c r="J4" s="1" t="s">
        <v>46</v>
      </c>
      <c r="K4" s="1">
        <v>21</v>
      </c>
    </row>
    <row r="5" spans="1:11" x14ac:dyDescent="0.3">
      <c r="A5" s="7"/>
      <c r="B5" s="7"/>
      <c r="C5" s="1" t="s">
        <v>4</v>
      </c>
      <c r="D5" s="1">
        <v>54503</v>
      </c>
      <c r="E5" s="1">
        <v>1000</v>
      </c>
      <c r="F5" s="1" t="s">
        <v>37</v>
      </c>
      <c r="G5" s="8"/>
      <c r="H5" s="7"/>
      <c r="J5" s="1" t="s">
        <v>47</v>
      </c>
      <c r="K5" s="1">
        <v>2</v>
      </c>
    </row>
    <row r="6" spans="1:11" x14ac:dyDescent="0.3">
      <c r="A6" s="7"/>
      <c r="B6" s="7"/>
      <c r="C6" s="1" t="s">
        <v>5</v>
      </c>
      <c r="D6" s="1">
        <v>110625</v>
      </c>
      <c r="E6" s="1">
        <v>2000</v>
      </c>
      <c r="F6" s="1" t="s">
        <v>38</v>
      </c>
      <c r="G6" s="8"/>
      <c r="H6" s="7"/>
      <c r="J6" s="1" t="s">
        <v>48</v>
      </c>
      <c r="K6" s="1">
        <v>48</v>
      </c>
    </row>
    <row r="7" spans="1:11" x14ac:dyDescent="0.3">
      <c r="A7" s="7"/>
      <c r="B7" s="7"/>
      <c r="C7" s="1" t="s">
        <v>6</v>
      </c>
      <c r="D7" s="1">
        <v>276457</v>
      </c>
      <c r="E7" s="1">
        <v>5000</v>
      </c>
      <c r="F7" s="1" t="s">
        <v>39</v>
      </c>
      <c r="G7" s="8"/>
      <c r="H7" s="7"/>
      <c r="J7" s="1" t="s">
        <v>49</v>
      </c>
      <c r="K7" s="1">
        <v>31</v>
      </c>
    </row>
    <row r="8" spans="1:11" x14ac:dyDescent="0.3">
      <c r="A8" s="7"/>
      <c r="B8" s="7"/>
      <c r="C8" s="1" t="s">
        <v>7</v>
      </c>
      <c r="D8" s="1">
        <v>563647</v>
      </c>
      <c r="E8" s="1">
        <v>10000</v>
      </c>
      <c r="F8" s="1" t="s">
        <v>40</v>
      </c>
      <c r="G8" s="8"/>
      <c r="H8" s="7"/>
      <c r="J8" s="1" t="s">
        <v>50</v>
      </c>
      <c r="K8" s="1">
        <f>K7*K6*K5*K4</f>
        <v>62496</v>
      </c>
    </row>
    <row r="9" spans="1:11" x14ac:dyDescent="0.3">
      <c r="A9" s="7"/>
      <c r="B9" s="7"/>
      <c r="C9" s="1" t="s">
        <v>8</v>
      </c>
      <c r="D9" s="1">
        <v>1514</v>
      </c>
      <c r="E9" s="1">
        <v>100</v>
      </c>
      <c r="F9" s="1" t="s">
        <v>41</v>
      </c>
      <c r="G9" s="8"/>
      <c r="H9" s="7"/>
    </row>
    <row r="10" spans="1:11" x14ac:dyDescent="0.3">
      <c r="A10" s="7"/>
      <c r="B10" s="7"/>
      <c r="C10" s="1" t="s">
        <v>9</v>
      </c>
      <c r="D10" s="1">
        <v>1634</v>
      </c>
      <c r="E10" s="1">
        <v>200</v>
      </c>
      <c r="F10" s="10" t="s">
        <v>82</v>
      </c>
      <c r="G10" s="7"/>
      <c r="H10" s="7"/>
    </row>
    <row r="11" spans="1:11" x14ac:dyDescent="0.3">
      <c r="A11" s="7"/>
      <c r="B11" s="7"/>
      <c r="C11" s="1" t="s">
        <v>10</v>
      </c>
      <c r="D11" s="1">
        <v>4566</v>
      </c>
      <c r="E11" s="1">
        <v>500</v>
      </c>
      <c r="F11" s="10" t="s">
        <v>83</v>
      </c>
      <c r="G11" s="7"/>
      <c r="H11" s="7"/>
    </row>
    <row r="12" spans="1:11" x14ac:dyDescent="0.3">
      <c r="A12" s="7"/>
      <c r="B12" s="7"/>
      <c r="C12" s="1" t="s">
        <v>11</v>
      </c>
      <c r="D12" s="1">
        <v>9052</v>
      </c>
      <c r="E12" s="1">
        <v>1000</v>
      </c>
      <c r="F12" s="10" t="s">
        <v>84</v>
      </c>
      <c r="G12" s="7"/>
      <c r="H12" s="7"/>
    </row>
    <row r="13" spans="1:11" x14ac:dyDescent="0.3">
      <c r="A13" s="7"/>
      <c r="B13" s="7"/>
      <c r="C13" s="1" t="s">
        <v>12</v>
      </c>
      <c r="D13" s="1">
        <v>18051</v>
      </c>
      <c r="E13" s="1">
        <v>2000</v>
      </c>
      <c r="F13" s="10" t="s">
        <v>85</v>
      </c>
      <c r="G13" s="7"/>
      <c r="H13" s="7"/>
    </row>
    <row r="14" spans="1:11" x14ac:dyDescent="0.3">
      <c r="A14" s="7"/>
      <c r="B14" s="7"/>
      <c r="C14" s="1" t="s">
        <v>13</v>
      </c>
      <c r="D14" s="1">
        <v>44356</v>
      </c>
      <c r="E14" s="1">
        <v>5000</v>
      </c>
      <c r="F14" s="10" t="s">
        <v>86</v>
      </c>
      <c r="G14" s="7"/>
      <c r="H14" s="7"/>
      <c r="I14" t="s">
        <v>90</v>
      </c>
    </row>
    <row r="15" spans="1:11" x14ac:dyDescent="0.3">
      <c r="A15" s="7"/>
      <c r="B15" s="7"/>
      <c r="C15" s="1" t="s">
        <v>14</v>
      </c>
      <c r="D15" s="1">
        <v>90204</v>
      </c>
      <c r="E15" s="1">
        <v>10000</v>
      </c>
      <c r="F15" s="10" t="s">
        <v>87</v>
      </c>
      <c r="G15" s="7"/>
      <c r="H15" s="7"/>
    </row>
    <row r="16" spans="1:11" x14ac:dyDescent="0.3">
      <c r="A16" s="7"/>
      <c r="B16" s="7"/>
      <c r="C16" s="1" t="s">
        <v>15</v>
      </c>
      <c r="D16" s="1">
        <v>2397</v>
      </c>
      <c r="E16" s="1">
        <v>100</v>
      </c>
      <c r="F16" s="10" t="s">
        <v>88</v>
      </c>
      <c r="G16" s="7"/>
      <c r="H16" s="7"/>
    </row>
    <row r="17" spans="1:8" x14ac:dyDescent="0.3">
      <c r="A17" s="7"/>
      <c r="B17" s="7"/>
      <c r="C17" s="1" t="s">
        <v>16</v>
      </c>
      <c r="D17" s="1">
        <v>2697</v>
      </c>
      <c r="E17" s="1">
        <v>200</v>
      </c>
      <c r="F17" s="10" t="s">
        <v>89</v>
      </c>
      <c r="G17" s="7"/>
      <c r="H17" s="7"/>
    </row>
    <row r="18" spans="1:8" x14ac:dyDescent="0.3">
      <c r="A18" s="7"/>
      <c r="B18" s="7"/>
      <c r="C18" s="1" t="s">
        <v>17</v>
      </c>
      <c r="D18" s="1">
        <v>7117</v>
      </c>
      <c r="E18" s="1">
        <v>500</v>
      </c>
      <c r="F18" s="7"/>
      <c r="G18" s="7"/>
      <c r="H18" s="7"/>
    </row>
    <row r="19" spans="1:8" x14ac:dyDescent="0.3">
      <c r="A19" s="7"/>
      <c r="B19" s="7"/>
      <c r="C19" s="1" t="s">
        <v>18</v>
      </c>
      <c r="D19" s="1">
        <v>14390</v>
      </c>
      <c r="E19" s="1">
        <v>1000</v>
      </c>
      <c r="F19" s="7"/>
      <c r="G19" s="7"/>
      <c r="H19" s="7"/>
    </row>
    <row r="20" spans="1:8" x14ac:dyDescent="0.3">
      <c r="A20" s="7"/>
      <c r="B20" s="7"/>
      <c r="C20" s="1" t="s">
        <v>19</v>
      </c>
      <c r="D20" s="1">
        <v>28919</v>
      </c>
      <c r="E20" s="1">
        <v>2000</v>
      </c>
      <c r="F20" s="7"/>
      <c r="G20" s="7"/>
      <c r="H20" s="7"/>
    </row>
    <row r="21" spans="1:8" x14ac:dyDescent="0.3">
      <c r="A21" s="7"/>
      <c r="B21" s="7"/>
      <c r="C21" s="1" t="s">
        <v>20</v>
      </c>
      <c r="D21" s="1">
        <v>72505</v>
      </c>
      <c r="E21" s="1">
        <v>5000</v>
      </c>
      <c r="F21" s="7"/>
      <c r="G21" s="7"/>
      <c r="H21" s="7"/>
    </row>
    <row r="22" spans="1:8" x14ac:dyDescent="0.3">
      <c r="A22" s="7"/>
      <c r="B22" s="7"/>
      <c r="C22" s="1" t="s">
        <v>21</v>
      </c>
      <c r="D22" s="1">
        <v>146919</v>
      </c>
      <c r="E22" s="1">
        <v>10000</v>
      </c>
      <c r="F22" s="7"/>
      <c r="G22" s="7"/>
      <c r="H22" s="7"/>
    </row>
    <row r="23" spans="1:8" x14ac:dyDescent="0.3">
      <c r="A23" s="7"/>
      <c r="B23" s="7"/>
      <c r="C23" s="7"/>
      <c r="D23" s="7"/>
      <c r="E23" s="7"/>
      <c r="F23" s="7"/>
      <c r="G23" s="7"/>
      <c r="H23" s="7"/>
    </row>
    <row r="24" spans="1:8" x14ac:dyDescent="0.3">
      <c r="A24" s="7"/>
      <c r="B24" s="7"/>
      <c r="C24" s="7"/>
      <c r="D24" s="7"/>
      <c r="E24" s="7"/>
      <c r="F24" s="7"/>
      <c r="G24" s="7"/>
      <c r="H24" s="7"/>
    </row>
    <row r="25" spans="1:8" x14ac:dyDescent="0.3">
      <c r="A25" s="7"/>
      <c r="B25" s="7"/>
      <c r="C25" s="7"/>
      <c r="D25" s="7"/>
      <c r="E25" s="7"/>
      <c r="F25" s="7"/>
      <c r="G25" s="7"/>
      <c r="H25" s="7"/>
    </row>
    <row r="26" spans="1:8" x14ac:dyDescent="0.3">
      <c r="A26" s="7"/>
      <c r="B26" s="7"/>
      <c r="C26" s="7"/>
      <c r="D26" s="7"/>
      <c r="E26" s="7"/>
      <c r="F26" s="7"/>
      <c r="G26" s="7"/>
      <c r="H26" s="7"/>
    </row>
  </sheetData>
  <mergeCells count="1">
    <mergeCell ref="J3:K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estructura paper</vt:lpstr>
      <vt:lpstr>seteo de parámetros</vt:lpstr>
      <vt:lpstr>contexto experimental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 Cisternas Caneo</dc:creator>
  <cp:lastModifiedBy>Felipe  Cisternas Caneo</cp:lastModifiedBy>
  <dcterms:created xsi:type="dcterms:W3CDTF">2026-04-29T14:05:34Z</dcterms:created>
  <dcterms:modified xsi:type="dcterms:W3CDTF">2026-05-11T16:38:26Z</dcterms:modified>
</cp:coreProperties>
</file>